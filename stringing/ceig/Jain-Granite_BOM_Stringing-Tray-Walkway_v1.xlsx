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DC cable by string" sheetId="2" state="visible" r:id="rId2"/>
    <sheet xmlns:r="http://schemas.openxmlformats.org/officeDocument/2006/relationships" name="Tray &amp; walkway ru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i val="1"/>
      <color rgb="00C00000"/>
    </font>
    <font>
      <b val="1"/>
      <color rgb="00FFFFFF"/>
    </font>
    <font>
      <b val="1"/>
      <color rgb="001F3BB8"/>
    </font>
    <font>
      <b val="1"/>
    </font>
  </fonts>
  <fills count="4">
    <fill>
      <patternFill/>
    </fill>
    <fill>
      <patternFill patternType="gray125"/>
    </fill>
    <fill>
      <patternFill patternType="solid">
        <fgColor rgb="001F3BB8"/>
      </patternFill>
    </fill>
    <fill>
      <patternFill patternType="solid">
        <fgColor rgb="00E8ECFB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0" pivotButton="0" quotePrefix="0" xfId="0"/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5" fillId="0" borderId="0" pivotButton="0" quotePrefix="0" xfId="0"/>
    <xf numFmtId="3" fontId="5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44" customWidth="1" min="3" max="3"/>
    <col width="13" customWidth="1" min="4" max="4"/>
    <col width="13" customWidth="1" min="5" max="5"/>
    <col width="12" customWidth="1" min="6" max="6"/>
    <col width="10" customWidth="1" min="7" max="7"/>
    <col width="12" customWidth="1" min="8" max="8"/>
    <col width="70" customWidth="1" min="9" max="9"/>
  </cols>
  <sheetData>
    <row r="1">
      <c r="A1" s="1" t="inlineStr">
        <is>
          <t>JAIN GRANITE &amp; MARBLE — 100.00 kWp ROOFTOP: BILL OF MATERIAL (STRINGING, DC CABLE, MC4, CABLE TRAY, WALKWAY)</t>
        </is>
      </c>
    </row>
    <row r="2">
      <c r="A2" t="inlineStr">
        <is>
          <t>BOM v1 · 27-10-2026 · based on drawings v5 (06 Stringing, 05 Cable Tray, 04 Walkway) · 160 x Adani AB-G12R-132-625, GoodWe GW80K-MT, 8 strings x 20, no Y-connectors</t>
        </is>
      </c>
    </row>
    <row r="3">
      <c r="A3" s="2" t="inlineStr">
        <is>
          <t>Quantities marked * depend on lengths scaled from the layout photo — confirm with a site measurement before ordering.</t>
        </is>
      </c>
    </row>
    <row r="5">
      <c r="A5" s="3" t="inlineStr">
        <is>
          <t>S.No</t>
        </is>
      </c>
      <c r="B5" s="3" t="inlineStr">
        <is>
          <t>Item</t>
        </is>
      </c>
      <c r="C5" s="3" t="inlineStr">
        <is>
          <t>Specification</t>
        </is>
      </c>
      <c r="D5" s="3" t="inlineStr">
        <is>
          <t>Unit</t>
        </is>
      </c>
      <c r="E5" s="3" t="inlineStr">
        <is>
          <t>Calculated qty</t>
        </is>
      </c>
      <c r="F5" s="3" t="inlineStr">
        <is>
          <t>Qty to order</t>
        </is>
      </c>
      <c r="G5" s="3" t="inlineStr">
        <is>
          <t>Rate (₹)</t>
        </is>
      </c>
      <c r="H5" s="3" t="inlineStr">
        <is>
          <t>Amount (₹)</t>
        </is>
      </c>
      <c r="I5" s="3" t="inlineStr">
        <is>
          <t>Basis / note</t>
        </is>
      </c>
    </row>
    <row r="6">
      <c r="A6" s="4" t="inlineStr">
        <is>
          <t>A. DC CABLE (STRING HOME RUNS + ROW-TURN JUMPERS)</t>
        </is>
      </c>
    </row>
    <row r="7">
      <c r="A7" s="5" t="inlineStr">
        <is>
          <t>A1</t>
        </is>
      </c>
      <c r="B7" s="5" t="inlineStr">
        <is>
          <t>DC solar cable 4 sq mm – RED (+VE)</t>
        </is>
      </c>
      <c r="C7" s="5" t="inlineStr">
        <is>
          <t>1C x 4 sq mm Cu, EN 50618 / H1Z2Z2-K, 1.5 kV DC, UV &amp; XLPO</t>
        </is>
      </c>
      <c r="D7" s="5" t="inlineStr">
        <is>
          <t>m</t>
        </is>
      </c>
      <c r="E7" s="5" t="n">
        <v>310.8</v>
      </c>
      <c r="F7" s="5" t="n">
        <v>330</v>
      </c>
      <c r="G7" s="6" t="n">
        <v>58</v>
      </c>
      <c r="H7" s="6">
        <f>IF(G7="","",F7*G7)</f>
        <v/>
      </c>
      <c r="I7" s="5" t="inlineStr">
        <is>
          <t>Sum of 8 +VE home runs along tray route (see sheet "DC cable by string") + 5 %. *</t>
        </is>
      </c>
    </row>
    <row r="8">
      <c r="A8" s="5" t="inlineStr">
        <is>
          <t>A2</t>
        </is>
      </c>
      <c r="B8" s="5" t="inlineStr">
        <is>
          <t>DC solar cable 4 sq mm – BLACK (–VE)</t>
        </is>
      </c>
      <c r="C8" s="5" t="inlineStr">
        <is>
          <t>Same as A1</t>
        </is>
      </c>
      <c r="D8" s="5" t="inlineStr">
        <is>
          <t>m</t>
        </is>
      </c>
      <c r="E8" s="5" t="n">
        <v>368.4</v>
      </c>
      <c r="F8" s="5" t="n">
        <v>390</v>
      </c>
      <c r="G8" s="6" t="n">
        <v>58</v>
      </c>
      <c r="H8" s="6">
        <f>IF(G8="","",F8*G8)</f>
        <v/>
      </c>
      <c r="I8" s="5" t="inlineStr">
        <is>
          <t>Sum of 8 –VE home runs + 5 %. –VE runs are longer (row 4 / row 8 terminals). *</t>
        </is>
      </c>
    </row>
    <row r="9">
      <c r="A9" s="5" t="inlineStr">
        <is>
          <t>A3</t>
        </is>
      </c>
      <c r="B9" s="5" t="inlineStr">
        <is>
          <t>DC solar cable 4 sq mm – row-turn jumpers</t>
        </is>
      </c>
      <c r="C9" s="5" t="inlineStr">
        <is>
          <t>Same as A1 (either colour)</t>
        </is>
      </c>
      <c r="D9" s="5" t="inlineStr">
        <is>
          <t>m</t>
        </is>
      </c>
      <c r="E9" s="5" t="n">
        <v>60</v>
      </c>
      <c r="F9" s="5" t="n">
        <v>65</v>
      </c>
      <c r="G9" s="6" t="n">
        <v>58</v>
      </c>
      <c r="H9" s="6">
        <f>IF(G9="","",F9*G9)</f>
        <v/>
      </c>
      <c r="I9" s="5" t="inlineStr">
        <is>
          <t>24 jumpers (3 row turns x 8 strings) x 2.5 m. Module pitch 2.4 m in portrait; module leads do not reach. Drop if modules are ordered with long (≥ 1.2 m) leads that reach across the turn.</t>
        </is>
      </c>
    </row>
    <row r="10">
      <c r="A10" s="4" t="inlineStr">
        <is>
          <t>B. MC4 CONNECTORS</t>
        </is>
      </c>
    </row>
    <row r="11">
      <c r="A11" s="5" t="inlineStr">
        <is>
          <t>B1</t>
        </is>
      </c>
      <c r="B11" s="5" t="inlineStr">
        <is>
          <t>MC4 connector pair – array end of home runs</t>
        </is>
      </c>
      <c r="C11" s="5" t="inlineStr">
        <is>
          <t>1 male + 1 female, 1500 V DC, 4–6 sq mm, IP68, SAME MAKE/TYPE AS MODULE CONNECTORS</t>
        </is>
      </c>
      <c r="D11" s="5" t="inlineStr">
        <is>
          <t>pair</t>
        </is>
      </c>
      <c r="E11" s="5" t="n">
        <v>8</v>
      </c>
      <c r="F11" s="5" t="n">
        <v>8</v>
      </c>
      <c r="G11" s="6" t="n"/>
      <c r="H11" s="6">
        <f>IF(G11="","",F11*G11)</f>
        <v/>
      </c>
      <c r="I11" s="5" t="inlineStr">
        <is>
          <t>16 conductors x 1 connector each at the array end = 16 halves = 8 pairs (one +, one – per string).</t>
        </is>
      </c>
    </row>
    <row r="12">
      <c r="A12" s="5" t="inlineStr">
        <is>
          <t>B2</t>
        </is>
      </c>
      <c r="B12" s="5" t="inlineStr">
        <is>
          <t>MC4 connector pair – row-turn jumpers</t>
        </is>
      </c>
      <c r="C12" s="5" t="inlineStr">
        <is>
          <t>Same as B1</t>
        </is>
      </c>
      <c r="D12" s="5" t="inlineStr">
        <is>
          <t>pair</t>
        </is>
      </c>
      <c r="E12" s="5" t="n">
        <v>24</v>
      </c>
      <c r="F12" s="5" t="n">
        <v>24</v>
      </c>
      <c r="G12" s="6" t="n"/>
      <c r="H12" s="6">
        <f>IF(G12="","",F12*G12)</f>
        <v/>
      </c>
      <c r="I12" s="5" t="inlineStr">
        <is>
          <t>1 pair per jumper (one end each). Not needed if A3 is dropped.</t>
        </is>
      </c>
    </row>
    <row r="13">
      <c r="A13" s="5" t="inlineStr">
        <is>
          <t>B3</t>
        </is>
      </c>
      <c r="B13" s="5" t="inlineStr">
        <is>
          <t>MC4 connector pair – spares</t>
        </is>
      </c>
      <c r="C13" s="5" t="inlineStr">
        <is>
          <t>Same as B1</t>
        </is>
      </c>
      <c r="D13" s="5" t="inlineStr">
        <is>
          <t>pair</t>
        </is>
      </c>
      <c r="E13" s="5" t="n"/>
      <c r="F13" s="5" t="n">
        <v>4</v>
      </c>
      <c r="G13" s="6" t="n"/>
      <c r="H13" s="6">
        <f>IF(G13="","",F13*G13)</f>
        <v/>
      </c>
      <c r="I13" s="5" t="inlineStr">
        <is>
          <t>≈ 10 % spare for re-termination on site.</t>
        </is>
      </c>
    </row>
    <row r="14">
      <c r="A14" s="5" t="inlineStr">
        <is>
          <t>B4</t>
        </is>
      </c>
      <c r="B14" s="5" t="inlineStr">
        <is>
          <t>DC connectors – inverter end</t>
        </is>
      </c>
      <c r="C14" s="5" t="inlineStr">
        <is>
          <t>GoodWe-supplied DC connectors (in the inverter box)</t>
        </is>
      </c>
      <c r="D14" s="5" t="inlineStr">
        <is>
          <t>pair</t>
        </is>
      </c>
      <c r="E14" s="5" t="n">
        <v>8</v>
      </c>
      <c r="F14" s="5" t="n">
        <v>0</v>
      </c>
      <c r="G14" s="6" t="n"/>
      <c r="H14" s="6">
        <f>IF(G14="","",F14*G14)</f>
        <v/>
      </c>
      <c r="I14" s="5" t="inlineStr">
        <is>
          <t>8 pairs needed (2 inputs x 4 MPPT). Use the GoodWe connectors supplied with the inverter (warranty / compatibility). Order 8 pairs of the inverter-compatible type ONLY if the box does not include them.</t>
        </is>
      </c>
    </row>
    <row r="15">
      <c r="A15" s="5" t="inlineStr">
        <is>
          <t>B5</t>
        </is>
      </c>
      <c r="B15" s="5" t="inlineStr">
        <is>
          <t>MC4 crimping tool + spanner set</t>
        </is>
      </c>
      <c r="C15" s="5" t="inlineStr">
        <is>
          <t>For 2.5 / 4 / 6 sq mm contacts</t>
        </is>
      </c>
      <c r="D15" s="5" t="inlineStr">
        <is>
          <t>set</t>
        </is>
      </c>
      <c r="E15" s="5" t="n"/>
      <c r="F15" s="5" t="n">
        <v>1</v>
      </c>
      <c r="G15" s="6" t="n"/>
      <c r="H15" s="6">
        <f>IF(G15="","",F15*G15)</f>
        <v/>
      </c>
      <c r="I15" s="5" t="inlineStr">
        <is>
          <t>Skip if the site team already has one.</t>
        </is>
      </c>
    </row>
    <row r="16">
      <c r="A16" s="4" t="inlineStr">
        <is>
          <t>C. DC CABLE TRAY (SHEET 05)</t>
        </is>
      </c>
    </row>
    <row r="17">
      <c r="A17" s="5" t="inlineStr">
        <is>
          <t>C1</t>
        </is>
      </c>
      <c r="B17" s="5" t="inlineStr">
        <is>
          <t>Perforated cable tray 100 x 50 mm</t>
        </is>
      </c>
      <c r="C17" s="5" t="inlineStr">
        <is>
          <t>HDG, 1.6 mm, standard 2.5 m lengths</t>
        </is>
      </c>
      <c r="D17" s="5" t="inlineStr">
        <is>
          <t>length (2.5 m)</t>
        </is>
      </c>
      <c r="E17" s="5" t="n">
        <v>75.90000000000001</v>
      </c>
      <c r="F17" s="5" t="n">
        <v>34</v>
      </c>
      <c r="G17" s="6" t="n"/>
      <c r="H17" s="6">
        <f>IF(G17="","",F17*G17)</f>
        <v/>
      </c>
      <c r="I17" s="5" t="inlineStr">
        <is>
          <t>Route T1 + T2 + T3a + T3b + T4 = 75.9 m (see "Tray &amp; walkway runs") + 10 % = 85.0 m. *</t>
        </is>
      </c>
    </row>
    <row r="18">
      <c r="A18" s="5" t="inlineStr">
        <is>
          <t>C2</t>
        </is>
      </c>
      <c r="B18" s="5" t="inlineStr">
        <is>
          <t>Tray cover 100 mm</t>
        </is>
      </c>
      <c r="C18" s="5" t="inlineStr">
        <is>
          <t>HDG, bolted / clip-on, 2.5 m</t>
        </is>
      </c>
      <c r="D18" s="5" t="inlineStr">
        <is>
          <t>length (2.5 m)</t>
        </is>
      </c>
      <c r="E18" s="5" t="n"/>
      <c r="F18" s="5" t="n">
        <v>34</v>
      </c>
      <c r="G18" s="6" t="n"/>
      <c r="H18" s="6">
        <f>IF(G18="","",F18*G18)</f>
        <v/>
      </c>
      <c r="I18" s="5" t="inlineStr">
        <is>
          <t>Full length — UV and bird / monkey protection.</t>
        </is>
      </c>
    </row>
    <row r="19">
      <c r="A19" s="5" t="inlineStr">
        <is>
          <t>C3</t>
        </is>
      </c>
      <c r="B19" s="5" t="inlineStr">
        <is>
          <t>Flat 90° bend 100 x 50</t>
        </is>
      </c>
      <c r="C19" s="5" t="inlineStr">
        <is>
          <t>HDG</t>
        </is>
      </c>
      <c r="D19" s="5" t="inlineStr">
        <is>
          <t>no.</t>
        </is>
      </c>
      <c r="E19" s="5" t="n">
        <v>2</v>
      </c>
      <c r="F19" s="5" t="n">
        <v>2</v>
      </c>
      <c r="G19" s="6" t="n"/>
      <c r="H19" s="6">
        <f>IF(G19="","",F19*G19)</f>
        <v/>
      </c>
      <c r="I19" s="5" t="inlineStr">
        <is>
          <t>T1 → north edge; wall vertical → along wall.</t>
        </is>
      </c>
    </row>
    <row r="20">
      <c r="A20" s="5" t="inlineStr">
        <is>
          <t>C4</t>
        </is>
      </c>
      <c r="B20" s="5" t="inlineStr">
        <is>
          <t>Tee 100 x 50</t>
        </is>
      </c>
      <c r="C20" s="5" t="inlineStr">
        <is>
          <t>HDG</t>
        </is>
      </c>
      <c r="D20" s="5" t="inlineStr">
        <is>
          <t>no.</t>
        </is>
      </c>
      <c r="E20" s="5" t="n">
        <v>1</v>
      </c>
      <c r="F20" s="5" t="n">
        <v>1</v>
      </c>
      <c r="G20" s="6" t="n"/>
      <c r="H20" s="6">
        <f>IF(G20="","",F20*G20)</f>
        <v/>
      </c>
      <c r="I20" s="5" t="inlineStr">
        <is>
          <t>T2 joining the north-edge run.</t>
        </is>
      </c>
    </row>
    <row r="21">
      <c r="A21" s="5" t="inlineStr">
        <is>
          <t>C5</t>
        </is>
      </c>
      <c r="B21" s="5" t="inlineStr">
        <is>
          <t>Vertical (riser) bend 100 x 50</t>
        </is>
      </c>
      <c r="C21" s="5" t="inlineStr">
        <is>
          <t>HDG</t>
        </is>
      </c>
      <c r="D21" s="5" t="inlineStr">
        <is>
          <t>no.</t>
        </is>
      </c>
      <c r="E21" s="5" t="n">
        <v>2</v>
      </c>
      <c r="F21" s="5" t="n">
        <v>2</v>
      </c>
      <c r="G21" s="6" t="n"/>
      <c r="H21" s="6">
        <f>IF(G21="","",F21*G21)</f>
        <v/>
      </c>
      <c r="I21" s="5" t="inlineStr">
        <is>
          <t>Over the east eave onto the wall; down into the inverter.</t>
        </is>
      </c>
    </row>
    <row r="22">
      <c r="A22" s="5" t="inlineStr">
        <is>
          <t>C6</t>
        </is>
      </c>
      <c r="B22" s="5" t="inlineStr">
        <is>
          <t>Tray coupler / joint set</t>
        </is>
      </c>
      <c r="C22" s="5" t="inlineStr">
        <is>
          <t>With bolts, nuts, washers</t>
        </is>
      </c>
      <c r="D22" s="5" t="inlineStr">
        <is>
          <t>set</t>
        </is>
      </c>
      <c r="E22" s="5" t="n">
        <v>38</v>
      </c>
      <c r="F22" s="5" t="n">
        <v>40</v>
      </c>
      <c r="G22" s="6" t="n"/>
      <c r="H22" s="6">
        <f>IF(G22="","",F22*G22)</f>
        <v/>
      </c>
      <c r="I22" s="5" t="inlineStr">
        <is>
          <t>One per joint between lengths and at each fitting end, + 5 %.</t>
        </is>
      </c>
    </row>
    <row r="23">
      <c r="A23" s="5" t="inlineStr">
        <is>
          <t>C7</t>
        </is>
      </c>
      <c r="B23" s="5" t="inlineStr">
        <is>
          <t>End cap 100 x 50</t>
        </is>
      </c>
      <c r="C23" s="5" t="inlineStr">
        <is>
          <t>HDG</t>
        </is>
      </c>
      <c r="D23" s="5" t="inlineStr">
        <is>
          <t>no.</t>
        </is>
      </c>
      <c r="E23" s="5" t="n">
        <v>2</v>
      </c>
      <c r="F23" s="5" t="n">
        <v>2</v>
      </c>
      <c r="G23" s="6" t="n"/>
      <c r="H23" s="6">
        <f>IF(G23="","",F23*G23)</f>
        <v/>
      </c>
      <c r="I23" s="5" t="inlineStr">
        <is>
          <t>South ends of T1 and T2.</t>
        </is>
      </c>
    </row>
    <row r="24">
      <c r="A24" s="5" t="inlineStr">
        <is>
          <t>C8</t>
        </is>
      </c>
      <c r="B24" s="5" t="inlineStr">
        <is>
          <t>Roof tray support / purlin clamp (75–100 mm raised)</t>
        </is>
      </c>
      <c r="C24" s="5" t="inlineStr">
        <is>
          <t>HDG, with EPDM-sealed fixings</t>
        </is>
      </c>
      <c r="D24" s="5" t="inlineStr">
        <is>
          <t>no.</t>
        </is>
      </c>
      <c r="E24" s="5" t="n">
        <v>46</v>
      </c>
      <c r="F24" s="5" t="n">
        <v>48</v>
      </c>
      <c r="G24" s="6" t="n"/>
      <c r="H24" s="6">
        <f>IF(G24="","",F24*G24)</f>
        <v/>
      </c>
      <c r="I24" s="5" t="inlineStr">
        <is>
          <t>Every 1.5 m on 62.0 m of roof tray + run ends. *</t>
        </is>
      </c>
    </row>
    <row r="25">
      <c r="A25" s="5" t="inlineStr">
        <is>
          <t>C9</t>
        </is>
      </c>
      <c r="B25" s="5" t="inlineStr">
        <is>
          <t>Wall bracket for tray</t>
        </is>
      </c>
      <c r="C25" s="5" t="inlineStr">
        <is>
          <t>HDG, anchor-fixed</t>
        </is>
      </c>
      <c r="D25" s="5" t="inlineStr">
        <is>
          <t>no.</t>
        </is>
      </c>
      <c r="E25" s="5" t="n">
        <v>13</v>
      </c>
      <c r="F25" s="5" t="n">
        <v>14</v>
      </c>
      <c r="G25" s="6" t="n"/>
      <c r="H25" s="6">
        <f>IF(G25="","",F25*G25)</f>
        <v/>
      </c>
      <c r="I25" s="5" t="inlineStr">
        <is>
          <t>Every 1.2 m on the 13.9 m wall run (T4). *</t>
        </is>
      </c>
    </row>
    <row r="26">
      <c r="A26" s="5" t="inlineStr">
        <is>
          <t>C10</t>
        </is>
      </c>
      <c r="B26" s="5" t="inlineStr">
        <is>
          <t>Tray earth-continuity jumper</t>
        </is>
      </c>
      <c r="C26" s="5" t="inlineStr">
        <is>
          <t>6 sq mm Cu with lugs (or couplers rated for continuity)</t>
        </is>
      </c>
      <c r="D26" s="5" t="inlineStr">
        <is>
          <t>no.</t>
        </is>
      </c>
      <c r="E26" s="5" t="n">
        <v>38</v>
      </c>
      <c r="F26" s="5" t="n">
        <v>38</v>
      </c>
      <c r="G26" s="6" t="n"/>
      <c r="H26" s="6">
        <f>IF(G26="","",F26*G26)</f>
        <v/>
      </c>
      <c r="I26" s="5" t="inlineStr">
        <is>
          <t>Across each joint, so the whole tray bonds to EP-1.</t>
        </is>
      </c>
    </row>
    <row r="27">
      <c r="A27" s="5" t="inlineStr">
        <is>
          <t>C11</t>
        </is>
      </c>
      <c r="B27" s="5" t="inlineStr">
        <is>
          <t>Cable ties, UV-stabilised</t>
        </is>
      </c>
      <c r="C27" s="5" t="inlineStr">
        <is>
          <t>300 mm and 200 mm, black</t>
        </is>
      </c>
      <c r="D27" s="5" t="inlineStr">
        <is>
          <t>pack of 100</t>
        </is>
      </c>
      <c r="E27" s="5" t="n"/>
      <c r="F27" s="5" t="n">
        <v>6</v>
      </c>
      <c r="G27" s="6" t="n"/>
      <c r="H27" s="6">
        <f>IF(G27="","",F27*G27)</f>
        <v/>
      </c>
      <c r="I27" s="5" t="inlineStr">
        <is>
          <t>Home runs in the vertical wall tray (every 0.5 m) + clipping module leads / jumpers to rails. Estimate.</t>
        </is>
      </c>
    </row>
    <row r="28">
      <c r="A28" s="5" t="inlineStr">
        <is>
          <t>C12</t>
        </is>
      </c>
      <c r="B28" s="5" t="inlineStr">
        <is>
          <t>Cable markers</t>
        </is>
      </c>
      <c r="C28" s="5" t="inlineStr">
        <is>
          <t>Printed / ferrule, S1+ … S8–</t>
        </is>
      </c>
      <c r="D28" s="5" t="inlineStr">
        <is>
          <t>no.</t>
        </is>
      </c>
      <c r="E28" s="5" t="n">
        <v>32</v>
      </c>
      <c r="F28" s="5" t="n">
        <v>40</v>
      </c>
      <c r="G28" s="6" t="n"/>
      <c r="H28" s="6">
        <f>IF(G28="","",F28*G28)</f>
        <v/>
      </c>
      <c r="I28" s="5" t="inlineStr">
        <is>
          <t>Both ends of all 16 home-run conductors (32) + spare.</t>
        </is>
      </c>
    </row>
    <row r="29">
      <c r="A29" s="4" t="inlineStr">
        <is>
          <t>D. WALKWAY (SHEET 04)</t>
        </is>
      </c>
    </row>
    <row r="30">
      <c r="A30" s="5" t="inlineStr">
        <is>
          <t>D1</t>
        </is>
      </c>
      <c r="B30" s="5" t="inlineStr">
        <is>
          <t>Walkway 300 mm wide</t>
        </is>
      </c>
      <c r="C30" s="5" t="inlineStr">
        <is>
          <t>FRP or HDG anti-skid grating, UV-stabilised, ≥ 150 kg/m²</t>
        </is>
      </c>
      <c r="D30" s="5" t="inlineStr">
        <is>
          <t>m</t>
        </is>
      </c>
      <c r="E30" s="5" t="n">
        <v>75.5</v>
      </c>
      <c r="F30" s="5" t="n">
        <v>80</v>
      </c>
      <c r="G30" s="6" t="n"/>
      <c r="H30" s="6">
        <f>IF(G30="","",F30*G30)</f>
        <v/>
      </c>
      <c r="I30" s="5" t="inlineStr">
        <is>
          <t>W1 + W2 + WC + WA1 + WA2 = 75.5 m + 5 %. In 3 m panels: 27 panels. *</t>
        </is>
      </c>
    </row>
    <row r="31">
      <c r="A31" s="5" t="inlineStr">
        <is>
          <t>D2</t>
        </is>
      </c>
      <c r="B31" s="5" t="inlineStr">
        <is>
          <t>Walkway fixing clamp / support set</t>
        </is>
      </c>
      <c r="C31" s="5" t="inlineStr">
        <is>
          <t>Purlin clamp, no sheet puncture (or EPDM-sealed)</t>
        </is>
      </c>
      <c r="D31" s="5" t="inlineStr">
        <is>
          <t>set</t>
        </is>
      </c>
      <c r="E31" s="5" t="n">
        <v>63</v>
      </c>
      <c r="F31" s="5" t="n">
        <v>67</v>
      </c>
      <c r="G31" s="6" t="n"/>
      <c r="H31" s="6">
        <f>IF(G31="","",F31*G31)</f>
        <v/>
      </c>
      <c r="I31" s="5" t="inlineStr">
        <is>
          <t>Every 1.2 m (confirm purlin spacing on site). *</t>
        </is>
      </c>
    </row>
    <row r="32">
      <c r="A32" s="5" t="inlineStr">
        <is>
          <t>D3</t>
        </is>
      </c>
      <c r="B32" s="5" t="inlineStr">
        <is>
          <t>Lifeline / handrail at ladder landing</t>
        </is>
      </c>
      <c r="C32" s="5" t="inlineStr">
        <is>
          <t>Along WA2 (south eave) + ladder landing</t>
        </is>
      </c>
      <c r="D32" s="5" t="inlineStr">
        <is>
          <t>m</t>
        </is>
      </c>
      <c r="E32" s="5" t="n">
        <v>6.6</v>
      </c>
      <c r="F32" s="5" t="n">
        <v>9</v>
      </c>
      <c r="G32" s="6" t="n"/>
      <c r="H32" s="6">
        <f>IF(G32="","",F32*G32)</f>
        <v/>
      </c>
      <c r="I32" s="5" t="inlineStr">
        <is>
          <t>Only stretch of walkway near a roof edge.</t>
        </is>
      </c>
    </row>
    <row r="33">
      <c r="A33" s="4" t="inlineStr">
        <is>
          <t>E. RELATED – IN THE SAME TRAY (OPTIONAL, FROM EARTHING LAYOUT)</t>
        </is>
      </c>
    </row>
    <row r="34">
      <c r="A34" s="5" t="inlineStr">
        <is>
          <t>E1</t>
        </is>
      </c>
      <c r="B34" s="5" t="inlineStr">
        <is>
          <t>Earth cable 16 sq mm Cu (green / yellow)</t>
        </is>
      </c>
      <c r="C34" s="5" t="inlineStr">
        <is>
          <t>PV structure earth bus, laid in the DC tray</t>
        </is>
      </c>
      <c r="D34" s="5" t="inlineStr">
        <is>
          <t>m</t>
        </is>
      </c>
      <c r="E34" s="5" t="n">
        <v>80.90000000000001</v>
      </c>
      <c r="F34" s="5" t="n">
        <v>90</v>
      </c>
      <c r="G34" s="6" t="n"/>
      <c r="H34" s="6">
        <f>IF(G34="","",F34*G34)</f>
        <v/>
      </c>
      <c r="I34" s="5" t="inlineStr">
        <is>
          <t>Tray route + ≈ 5 m from the wall to EP-1, + 10 %. *</t>
        </is>
      </c>
    </row>
    <row r="36">
      <c r="A36" t="inlineStr"/>
      <c r="B36" s="7" t="inlineStr">
        <is>
          <t>TOTAL (items with a rate)</t>
        </is>
      </c>
      <c r="C36" t="inlineStr"/>
      <c r="D36" t="inlineStr"/>
      <c r="E36" t="inlineStr"/>
      <c r="F36" t="inlineStr"/>
      <c r="G36" t="inlineStr"/>
      <c r="H36" s="8">
        <f>SUM(H7:H34)</f>
        <v/>
      </c>
      <c r="I36" t="inlineStr">
        <is>
          <t>Fill in rates in column G for the rest.</t>
        </is>
      </c>
    </row>
  </sheetData>
  <mergeCells count="5">
    <mergeCell ref="A29:I29"/>
    <mergeCell ref="A33:I33"/>
    <mergeCell ref="A10:I10"/>
    <mergeCell ref="A6:I6"/>
    <mergeCell ref="A16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8" customWidth="1" min="4" max="4"/>
    <col width="12" customWidth="1" min="5" max="5"/>
    <col width="13" customWidth="1" min="6" max="6"/>
    <col width="10" customWidth="1" min="7" max="7"/>
    <col width="90" customWidth="1" min="8" max="8"/>
  </cols>
  <sheetData>
    <row r="1">
      <c r="A1" s="9" t="inlineStr">
        <is>
          <t>String</t>
        </is>
      </c>
      <c r="B1" s="9" t="inlineStr">
        <is>
          <t>MPPT</t>
        </is>
      </c>
      <c r="C1" s="9" t="inlineStr">
        <is>
          <t>Input</t>
        </is>
      </c>
      <c r="D1" s="9" t="inlineStr">
        <is>
          <t>Slope</t>
        </is>
      </c>
      <c r="E1" s="9" t="inlineStr">
        <is>
          <t>+VE red (m)</t>
        </is>
      </c>
      <c r="F1" s="9" t="inlineStr">
        <is>
          <t>–VE black (m)</t>
        </is>
      </c>
      <c r="G1" s="9" t="inlineStr">
        <is>
          <t>Pair (m)</t>
        </is>
      </c>
      <c r="H1" s="9" t="inlineStr">
        <is>
          <t>How it is measured</t>
        </is>
      </c>
    </row>
    <row r="2">
      <c r="A2" t="inlineStr">
        <is>
          <t>S1</t>
        </is>
      </c>
      <c r="B2" t="n">
        <v>3</v>
      </c>
      <c r="C2" t="n">
        <v>1</v>
      </c>
      <c r="D2" t="inlineStr">
        <is>
          <t>West</t>
        </is>
      </c>
      <c r="E2" t="n">
        <v>42.1</v>
      </c>
      <c r="F2" t="n">
        <v>49.3</v>
      </c>
      <c r="G2" t="n">
        <v>91.5</v>
      </c>
      <c r="H2" t="inlineStr">
        <is>
          <t>terminal row → tray in the block gap → north edge → east eave → 10 m down the wall → along wall to inverter, + 1.0 m array tail + 1.5 m at inverter</t>
        </is>
      </c>
    </row>
    <row r="3">
      <c r="A3" t="inlineStr">
        <is>
          <t>S2</t>
        </is>
      </c>
      <c r="B3" t="n">
        <v>4</v>
      </c>
      <c r="C3" t="n">
        <v>1</v>
      </c>
      <c r="D3" t="inlineStr">
        <is>
          <t>West</t>
        </is>
      </c>
      <c r="E3" t="n">
        <v>51.7</v>
      </c>
      <c r="F3" t="n">
        <v>59</v>
      </c>
      <c r="G3" t="n">
        <v>110.7</v>
      </c>
      <c r="H3" t="inlineStr">
        <is>
          <t>terminal row → tray in the block gap → north edge → east eave → 10 m down the wall → along wall to inverter, + 1.0 m array tail + 1.5 m at inverter</t>
        </is>
      </c>
    </row>
    <row r="4">
      <c r="A4" t="inlineStr">
        <is>
          <t>S3</t>
        </is>
      </c>
      <c r="B4" t="n">
        <v>3</v>
      </c>
      <c r="C4" t="n">
        <v>2</v>
      </c>
      <c r="D4" t="inlineStr">
        <is>
          <t>West</t>
        </is>
      </c>
      <c r="E4" t="n">
        <v>42.1</v>
      </c>
      <c r="F4" t="n">
        <v>49.3</v>
      </c>
      <c r="G4" t="n">
        <v>91.5</v>
      </c>
      <c r="H4" t="inlineStr">
        <is>
          <t>terminal row → tray in the block gap → north edge → east eave → 10 m down the wall → along wall to inverter, + 1.0 m array tail + 1.5 m at inverter</t>
        </is>
      </c>
    </row>
    <row r="5">
      <c r="A5" t="inlineStr">
        <is>
          <t>S4</t>
        </is>
      </c>
      <c r="B5" t="n">
        <v>4</v>
      </c>
      <c r="C5" t="n">
        <v>2</v>
      </c>
      <c r="D5" t="inlineStr">
        <is>
          <t>West</t>
        </is>
      </c>
      <c r="E5" t="n">
        <v>51.7</v>
      </c>
      <c r="F5" t="n">
        <v>59</v>
      </c>
      <c r="G5" t="n">
        <v>110.7</v>
      </c>
      <c r="H5" t="inlineStr">
        <is>
          <t>terminal row → tray in the block gap → north edge → east eave → 10 m down the wall → along wall to inverter, + 1.0 m array tail + 1.5 m at inverter</t>
        </is>
      </c>
    </row>
    <row r="6">
      <c r="A6" t="inlineStr">
        <is>
          <t>S5</t>
        </is>
      </c>
      <c r="B6" t="n">
        <v>1</v>
      </c>
      <c r="C6" t="n">
        <v>1</v>
      </c>
      <c r="D6" t="inlineStr">
        <is>
          <t>East</t>
        </is>
      </c>
      <c r="E6" t="n">
        <v>25.9</v>
      </c>
      <c r="F6" t="n">
        <v>33.1</v>
      </c>
      <c r="G6" t="n">
        <v>59.1</v>
      </c>
      <c r="H6" t="inlineStr">
        <is>
          <t>terminal row → tray in the block gap → north edge → east eave → 10 m down the wall → along wall to inverter, + 1.0 m array tail + 1.5 m at inverter</t>
        </is>
      </c>
    </row>
    <row r="7">
      <c r="A7" t="inlineStr">
        <is>
          <t>S6</t>
        </is>
      </c>
      <c r="B7" t="n">
        <v>2</v>
      </c>
      <c r="C7" t="n">
        <v>1</v>
      </c>
      <c r="D7" t="inlineStr">
        <is>
          <t>East</t>
        </is>
      </c>
      <c r="E7" t="n">
        <v>35.5</v>
      </c>
      <c r="F7" t="n">
        <v>42.8</v>
      </c>
      <c r="G7" t="n">
        <v>78.3</v>
      </c>
      <c r="H7" t="inlineStr">
        <is>
          <t>terminal row → tray in the block gap → north edge → east eave → 10 m down the wall → along wall to inverter, + 1.0 m array tail + 1.5 m at inverter</t>
        </is>
      </c>
    </row>
    <row r="8">
      <c r="A8" t="inlineStr">
        <is>
          <t>S7</t>
        </is>
      </c>
      <c r="B8" t="n">
        <v>1</v>
      </c>
      <c r="C8" t="n">
        <v>2</v>
      </c>
      <c r="D8" t="inlineStr">
        <is>
          <t>East</t>
        </is>
      </c>
      <c r="E8" t="n">
        <v>25.9</v>
      </c>
      <c r="F8" t="n">
        <v>33.1</v>
      </c>
      <c r="G8" t="n">
        <v>59.1</v>
      </c>
      <c r="H8" t="inlineStr">
        <is>
          <t>terminal row → tray in the block gap → north edge → east eave → 10 m down the wall → along wall to inverter, + 1.0 m array tail + 1.5 m at inverter</t>
        </is>
      </c>
    </row>
    <row r="9">
      <c r="A9" t="inlineStr">
        <is>
          <t>S8</t>
        </is>
      </c>
      <c r="B9" t="n">
        <v>2</v>
      </c>
      <c r="C9" t="n">
        <v>2</v>
      </c>
      <c r="D9" t="inlineStr">
        <is>
          <t>East</t>
        </is>
      </c>
      <c r="E9" t="n">
        <v>35.5</v>
      </c>
      <c r="F9" t="n">
        <v>42.8</v>
      </c>
      <c r="G9" t="n">
        <v>78.3</v>
      </c>
      <c r="H9" t="inlineStr">
        <is>
          <t>terminal row → tray in the block gap → north edge → east eave → 10 m down the wall → along wall to inverter, + 1.0 m array tail + 1.5 m at inverter</t>
        </is>
      </c>
    </row>
    <row r="10">
      <c r="A10" s="7" t="inlineStr">
        <is>
          <t>TOTAL</t>
        </is>
      </c>
      <c r="B10" s="7" t="inlineStr"/>
      <c r="C10" s="7" t="inlineStr"/>
      <c r="D10" s="7" t="inlineStr"/>
      <c r="E10" s="7">
        <f>SUM(E2:E9)</f>
        <v/>
      </c>
      <c r="F10" s="7">
        <f>SUM(F2:F9)</f>
        <v/>
      </c>
      <c r="G10" s="7">
        <f>SUM(G2:G9)</f>
        <v/>
      </c>
      <c r="H10" t="inlineStr"/>
    </row>
    <row r="12">
      <c r="A12" t="inlineStr">
        <is>
          <t>Row-turn jumpers</t>
        </is>
      </c>
      <c r="B12" t="inlineStr"/>
      <c r="C12" t="inlineStr"/>
      <c r="D12" t="inlineStr"/>
      <c r="E12" t="inlineStr"/>
      <c r="F12" t="inlineStr"/>
      <c r="G12" t="n">
        <v>60</v>
      </c>
      <c r="H12" t="inlineStr">
        <is>
          <t>24 x 2.5 m (3 per string)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2" customWidth="1" min="3" max="3"/>
    <col width="40" customWidth="1" min="4" max="4"/>
  </cols>
  <sheetData>
    <row r="1">
      <c r="A1" s="9" t="inlineStr">
        <is>
          <t>Run</t>
        </is>
      </c>
      <c r="B1" s="9" t="inlineStr">
        <is>
          <t>Route</t>
        </is>
      </c>
      <c r="C1" s="9" t="inlineStr">
        <is>
          <t>Length (m)</t>
        </is>
      </c>
      <c r="D1" s="9" t="inlineStr">
        <is>
          <t>Contents / width</t>
        </is>
      </c>
    </row>
    <row r="2">
      <c r="A2" t="inlineStr">
        <is>
          <t>T1</t>
        </is>
      </c>
      <c r="B2" t="inlineStr">
        <is>
          <t>GAP BLOCK 1/2: ROW 8 → NORTH EDGE</t>
        </is>
      </c>
      <c r="C2" t="n">
        <v>19.3</v>
      </c>
      <c r="D2" t="inlineStr">
        <is>
          <t>8 x 4 SQ MM + 16 SQ MM E (S1–S4)</t>
        </is>
      </c>
    </row>
    <row r="3">
      <c r="A3" t="inlineStr">
        <is>
          <t>T2</t>
        </is>
      </c>
      <c r="B3" t="inlineStr">
        <is>
          <t>GAP BLOCK 3/4: ROW 8 → NORTH EDGE</t>
        </is>
      </c>
      <c r="C3" t="n">
        <v>19.3</v>
      </c>
      <c r="D3" t="inlineStr">
        <is>
          <t>8 x 4 SQ MM + 16 SQ MM E (S5–S8)</t>
        </is>
      </c>
    </row>
    <row r="4">
      <c r="A4" t="inlineStr">
        <is>
          <t>T3a</t>
        </is>
      </c>
      <c r="B4" t="inlineStr">
        <is>
          <t>NORTH EDGE: T1 → T2 (OVER RIDGE)</t>
        </is>
      </c>
      <c r="C4" t="n">
        <v>16.2</v>
      </c>
      <c r="D4" t="inlineStr">
        <is>
          <t>8 x 4 SQ MM + 16 SQ MM E (S1–S4)</t>
        </is>
      </c>
    </row>
    <row r="5">
      <c r="A5" t="inlineStr">
        <is>
          <t>T3b</t>
        </is>
      </c>
      <c r="B5" t="inlineStr">
        <is>
          <t>NORTH EDGE: T2 → EAST EAVE</t>
        </is>
      </c>
      <c r="C5" t="n">
        <v>7.15</v>
      </c>
      <c r="D5" t="inlineStr">
        <is>
          <t>16 x 4 SQ MM + 16 SQ MM E (ALL 8 STRINGS)</t>
        </is>
      </c>
    </row>
    <row r="6">
      <c r="A6" t="inlineStr">
        <is>
          <t>T4</t>
        </is>
      </c>
      <c r="B6" t="inlineStr">
        <is>
          <t>EAST WALL: DOWN 10 m + ALONG TO INVERTER</t>
        </is>
      </c>
      <c r="C6" t="n">
        <v>13.9</v>
      </c>
      <c r="D6" t="inlineStr">
        <is>
          <t>16 x 4 SQ MM + 16 SQ MM E (ALL 8 STRINGS)</t>
        </is>
      </c>
    </row>
    <row r="7">
      <c r="A7" t="inlineStr"/>
      <c r="B7" t="inlineStr">
        <is>
          <t>TOTAL DC TRAY</t>
        </is>
      </c>
      <c r="C7" t="n">
        <v>75.84999999999999</v>
      </c>
      <c r="D7" t="inlineStr">
        <is>
          <t>100 x 50 mm</t>
        </is>
      </c>
    </row>
    <row r="9">
      <c r="A9" t="inlineStr">
        <is>
          <t>W1</t>
        </is>
      </c>
      <c r="B9" t="inlineStr">
        <is>
          <t>WEST SLOPE: GAP BLOCK 1 / 2 (BESIDE T1)</t>
        </is>
      </c>
      <c r="C9" t="n">
        <v>19.2</v>
      </c>
      <c r="D9" t="inlineStr">
        <is>
          <t>300 mm</t>
        </is>
      </c>
    </row>
    <row r="10">
      <c r="A10" t="inlineStr">
        <is>
          <t>W2</t>
        </is>
      </c>
      <c r="B10" t="inlineStr">
        <is>
          <t>EAST SLOPE: GAP BLOCK 3 / 4 (BESIDE T2)</t>
        </is>
      </c>
      <c r="C10" t="n">
        <v>19.2</v>
      </c>
      <c r="D10" t="inlineStr">
        <is>
          <t>300 mm</t>
        </is>
      </c>
    </row>
    <row r="11">
      <c r="A11" t="inlineStr">
        <is>
          <t>WC</t>
        </is>
      </c>
      <c r="B11" t="inlineStr">
        <is>
          <t>Connector, just south of the arrays, W1 → W2</t>
        </is>
      </c>
      <c r="C11" t="n">
        <v>16.5</v>
      </c>
      <c r="D11" t="inlineStr">
        <is>
          <t>300 mm</t>
        </is>
      </c>
    </row>
    <row r="12">
      <c r="A12" t="inlineStr">
        <is>
          <t>WA1</t>
        </is>
      </c>
      <c r="B12" t="inlineStr">
        <is>
          <t>Access: W1 continued south to the access strip *</t>
        </is>
      </c>
      <c r="C12" t="n">
        <v>13.95</v>
      </c>
      <c r="D12" t="inlineStr">
        <is>
          <t>300 mm</t>
        </is>
      </c>
    </row>
    <row r="13">
      <c r="A13" t="inlineStr">
        <is>
          <t>WA2</t>
        </is>
      </c>
      <c r="B13" t="inlineStr">
        <is>
          <t>Access: along the south edge from the SW ladder *</t>
        </is>
      </c>
      <c r="C13" t="n">
        <v>6.62</v>
      </c>
      <c r="D13" t="inlineStr">
        <is>
          <t>300 mm</t>
        </is>
      </c>
    </row>
    <row r="14">
      <c r="A14" t="inlineStr"/>
      <c r="B14" t="inlineStr">
        <is>
          <t>TOTAL WALKWAY</t>
        </is>
      </c>
      <c r="C14" t="n">
        <v>75.47</v>
      </c>
      <c r="D14" t="inlineStr">
        <is>
          <t>300 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2026-10-27T12:38:32Z</dcterms:created>
  <dcterms:modified xmlns:dcterms="http://purl.org/dc/terms/" xmlns:xsi="http://www.w3.org/2001/XMLSchema-instance" xsi:type="dcterms:W3CDTF">2026-10-27T12:38:32Z</dcterms:modified>
</cp:coreProperties>
</file>